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/>
  <mc:AlternateContent xmlns:mc="http://schemas.openxmlformats.org/markup-compatibility/2006">
    <mc:Choice Requires="x15">
      <x15ac:absPath xmlns:x15ac="http://schemas.microsoft.com/office/spreadsheetml/2010/11/ac" url="C:\Users\jodyk\OneDrive\Documents\Projects\laravel\project\exsys-fc-gkm\"/>
    </mc:Choice>
  </mc:AlternateContent>
  <xr:revisionPtr revIDLastSave="0" documentId="13_ncr:1_{0A831E21-E611-44CB-80C0-6F7E3455C047}" xr6:coauthVersionLast="47" xr6:coauthVersionMax="47" xr10:uidLastSave="{00000000-0000-0000-0000-000000000000}"/>
  <bookViews>
    <workbookView xWindow="28680" yWindow="9690" windowWidth="20730" windowHeight="111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1" i="1" l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M48" i="1" l="1"/>
  <c r="M44" i="1"/>
  <c r="M51" i="1"/>
  <c r="M31" i="1"/>
  <c r="K57" i="1" l="1"/>
</calcChain>
</file>

<file path=xl/sharedStrings.xml><?xml version="1.0" encoding="utf-8"?>
<sst xmlns="http://schemas.openxmlformats.org/spreadsheetml/2006/main" count="142" uniqueCount="88">
  <si>
    <t>Tabel gejala</t>
  </si>
  <si>
    <t>id</t>
  </si>
  <si>
    <t>kode</t>
  </si>
  <si>
    <t>nama</t>
  </si>
  <si>
    <t>Merasa sulit untuk menikmati sehari-hari</t>
  </si>
  <si>
    <t>Kehilangan minat pada berbagai hal</t>
  </si>
  <si>
    <t>Mempunyai pikiran untuk mengakhiri hidup</t>
  </si>
  <si>
    <t>Penyakit</t>
  </si>
  <si>
    <t>Somatoform</t>
  </si>
  <si>
    <t>Neurotik</t>
  </si>
  <si>
    <t>Evaluasi</t>
  </si>
  <si>
    <t xml:space="preserve">Tabel Sistem Pakar </t>
  </si>
  <si>
    <t>Tabel penyakit</t>
  </si>
  <si>
    <t>Tabel pasien</t>
  </si>
  <si>
    <t>definisi</t>
  </si>
  <si>
    <t>solusi</t>
  </si>
  <si>
    <t>nomor kartu identitas</t>
  </si>
  <si>
    <t>umur</t>
  </si>
  <si>
    <t>phone</t>
  </si>
  <si>
    <t>Gangguan Depresi</t>
  </si>
  <si>
    <t>definisi penyakit</t>
  </si>
  <si>
    <t>solusi penyakit</t>
  </si>
  <si>
    <t>3514100102030001</t>
  </si>
  <si>
    <t>lala</t>
  </si>
  <si>
    <t>081234876098</t>
  </si>
  <si>
    <t>Gangguan Kecemasan</t>
  </si>
  <si>
    <t>3514100102030002</t>
  </si>
  <si>
    <t>adi</t>
  </si>
  <si>
    <t>Gangguan Somatoform</t>
  </si>
  <si>
    <t>3514100102030003</t>
  </si>
  <si>
    <t>amir</t>
  </si>
  <si>
    <t>Gangguan Neurotik</t>
  </si>
  <si>
    <t>3514100102030004</t>
  </si>
  <si>
    <t>budi</t>
  </si>
  <si>
    <t>Perhitungan</t>
  </si>
  <si>
    <t xml:space="preserve">Input gejala </t>
  </si>
  <si>
    <t>Data kasus</t>
  </si>
  <si>
    <t>Gejala dan kompleksitas</t>
  </si>
  <si>
    <t>hasil</t>
  </si>
  <si>
    <t>%</t>
  </si>
  <si>
    <t>Hasil diagniosa adalah Depresi dengan hasil =</t>
  </si>
  <si>
    <t>J0001</t>
  </si>
  <si>
    <t>J0002</t>
  </si>
  <si>
    <t>J0003</t>
  </si>
  <si>
    <t>J0004</t>
  </si>
  <si>
    <t>J0005</t>
  </si>
  <si>
    <t>J0006</t>
  </si>
  <si>
    <t>J0007</t>
  </si>
  <si>
    <t>J0008</t>
  </si>
  <si>
    <t>J0009</t>
  </si>
  <si>
    <t>J0010</t>
  </si>
  <si>
    <t>J0011</t>
  </si>
  <si>
    <t>J0012</t>
  </si>
  <si>
    <t>J0013</t>
  </si>
  <si>
    <t>J0014</t>
  </si>
  <si>
    <t>J0015</t>
  </si>
  <si>
    <t>J0016</t>
  </si>
  <si>
    <t>J0017</t>
  </si>
  <si>
    <t>J0018</t>
  </si>
  <si>
    <t>J0019</t>
  </si>
  <si>
    <t>J0020</t>
  </si>
  <si>
    <t>Apakah anda sering menderita sakit kepala?</t>
  </si>
  <si>
    <t>Apakah anda kehilangan nafsu makan?</t>
  </si>
  <si>
    <t>Apakah tidur anda tidak lelap?</t>
  </si>
  <si>
    <t>Apakah anda mudah menjadi takut?</t>
  </si>
  <si>
    <t>Apakah anda merasa cemas, tegang dan khawatir?</t>
  </si>
  <si>
    <t>Apakah tangan anda gemetar?</t>
  </si>
  <si>
    <t>Apakah anda mengalami gangguan pencernaan?</t>
  </si>
  <si>
    <t>Apakah anda mersa sulit berpikir jernih?</t>
  </si>
  <si>
    <t>Apakah anda merasa tidak bahagia?</t>
  </si>
  <si>
    <t>Apakah anda sering menangis?</t>
  </si>
  <si>
    <t>Apakah anda sulit untuk menikmati aktivitas sehari-hari?</t>
  </si>
  <si>
    <t>Apakah anda mengalami kesulitan untuk mengambil keputusan?</t>
  </si>
  <si>
    <t>Apakah pekerjaan sehari-hari terganggu?</t>
  </si>
  <si>
    <t>Apakah anda merasa tidak mampu berperan dalam kehidupan ini?</t>
  </si>
  <si>
    <t>Apakah anda kehilangan minat terhadap banyak hal?</t>
  </si>
  <si>
    <t>Apakah anda merasa tidak berharga?</t>
  </si>
  <si>
    <t>Apakah anda mempunyai pikiran untuk mengakhiri hidup anda?</t>
  </si>
  <si>
    <t>Apakah anda merasa Lelah sepanjang waktu?</t>
  </si>
  <si>
    <t>Apakah anda mersasa tidak enak perut?</t>
  </si>
  <si>
    <t>Apakah anda mudah Lelah?</t>
  </si>
  <si>
    <t>K0001</t>
  </si>
  <si>
    <t>K0002</t>
  </si>
  <si>
    <t>K0003</t>
  </si>
  <si>
    <t>K0004</t>
  </si>
  <si>
    <t>Kode Gejala</t>
  </si>
  <si>
    <t>Gejala yang sama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</si>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</sst>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0"/>
        <bgColor indexed="64"/>
      </patternFill>
    </fill>
  </fills>
  <borders count="6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indexed="64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indexed="64"/>
      </left>
      <right style="thin">
        <color theme="0" tint="-0.14999847407452621"/>
      </right>
      <top style="thin">
        <color indexed="64"/>
      </top>
      <bottom style="thin">
        <color indexed="64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indexed="64"/>
      </top>
      <bottom style="thin">
        <color indexed="64"/>
      </bottom>
      <diagonal/>
    </border>
    <border>
      <left style="thin">
        <color theme="0" tint="-0.1499984740745262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indexed="64"/>
      </left>
      <right/>
      <top/>
      <bottom style="thin">
        <color theme="0" tint="-0.149998474074526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98474074526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9847407452621"/>
      </bottom>
      <diagonal/>
    </border>
    <border>
      <left style="thin">
        <color indexed="64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indexed="64"/>
      </left>
      <right style="thin">
        <color indexed="64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indexed="64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indexed="64"/>
      </left>
      <right style="thin">
        <color indexed="64"/>
      </right>
      <top style="thin">
        <color theme="0" tint="-0.14999847407452621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/>
      <right/>
      <top/>
      <bottom style="thin">
        <color theme="0" tint="-0.14999847407452621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indexed="64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1"/>
      </right>
      <top/>
      <bottom/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0" tint="-0.14999847407452621"/>
      </left>
      <right style="thin">
        <color theme="1"/>
      </right>
      <top/>
      <bottom/>
      <diagonal/>
    </border>
    <border>
      <left style="thin">
        <color indexed="64"/>
      </left>
      <right style="thin">
        <color theme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1"/>
      </right>
      <top style="thin">
        <color indexed="64"/>
      </top>
      <bottom/>
      <diagonal/>
    </border>
    <border>
      <left style="thin">
        <color indexed="64"/>
      </left>
      <right style="thin">
        <color theme="1"/>
      </right>
      <top/>
      <bottom/>
      <diagonal/>
    </border>
    <border>
      <left style="thin">
        <color indexed="64"/>
      </left>
      <right style="thin">
        <color theme="1"/>
      </right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 style="thin">
        <color indexed="64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1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/>
      <diagonal/>
    </border>
    <border>
      <left/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indexed="64"/>
      </left>
      <right style="thin">
        <color theme="1"/>
      </right>
      <top style="thin">
        <color theme="0" tint="-0.14999847407452621"/>
      </top>
      <bottom/>
      <diagonal/>
    </border>
    <border>
      <left style="thin">
        <color indexed="64"/>
      </left>
      <right style="thin">
        <color theme="1"/>
      </right>
      <top/>
      <bottom style="thin">
        <color theme="1"/>
      </bottom>
      <diagonal/>
    </border>
    <border>
      <left/>
      <right style="thin">
        <color indexed="64"/>
      </right>
      <top/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theme="0" tint="-0.14999847407452621"/>
      </top>
      <bottom style="thin">
        <color theme="1"/>
      </bottom>
      <diagonal/>
    </border>
    <border>
      <left style="thin">
        <color indexed="64"/>
      </left>
      <right style="thin">
        <color theme="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0" tint="-0.14999847407452621"/>
      </left>
      <right/>
      <top style="thin">
        <color theme="1"/>
      </top>
      <bottom style="thin">
        <color theme="0" tint="-0.14999847407452621"/>
      </bottom>
      <diagonal/>
    </border>
    <border>
      <left/>
      <right style="thin">
        <color theme="0" tint="-0.14999847407452621"/>
      </right>
      <top style="thin">
        <color theme="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1"/>
      </top>
      <bottom style="thin">
        <color theme="0" tint="-0.14999847407452621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84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6" xfId="0" quotePrefix="1" applyBorder="1"/>
    <xf numFmtId="0" fontId="0" fillId="0" borderId="7" xfId="0" quotePrefix="1" applyBorder="1"/>
    <xf numFmtId="0" fontId="0" fillId="0" borderId="9" xfId="0" quotePrefix="1" applyBorder="1"/>
    <xf numFmtId="0" fontId="0" fillId="0" borderId="10" xfId="0" quotePrefix="1" applyBorder="1"/>
    <xf numFmtId="0" fontId="2" fillId="3" borderId="16" xfId="0" applyFont="1" applyFill="1" applyBorder="1"/>
    <xf numFmtId="0" fontId="2" fillId="3" borderId="17" xfId="0" applyFont="1" applyFill="1" applyBorder="1"/>
    <xf numFmtId="0" fontId="2" fillId="3" borderId="18" xfId="0" applyFont="1" applyFill="1" applyBorder="1"/>
    <xf numFmtId="0" fontId="3" fillId="3" borderId="19" xfId="0" applyFont="1" applyFill="1" applyBorder="1"/>
    <xf numFmtId="0" fontId="2" fillId="3" borderId="20" xfId="0" applyFont="1" applyFill="1" applyBorder="1"/>
    <xf numFmtId="0" fontId="2" fillId="3" borderId="21" xfId="1" applyFont="1" applyFill="1" applyBorder="1"/>
    <xf numFmtId="0" fontId="2" fillId="3" borderId="22" xfId="1" applyFont="1" applyFill="1" applyBorder="1"/>
    <xf numFmtId="0" fontId="3" fillId="3" borderId="1" xfId="0" applyFont="1" applyFill="1" applyBorder="1"/>
    <xf numFmtId="0" fontId="3" fillId="3" borderId="4" xfId="0" applyFont="1" applyFill="1" applyBorder="1"/>
    <xf numFmtId="0" fontId="3" fillId="3" borderId="3" xfId="0" applyFont="1" applyFill="1" applyBorder="1"/>
    <xf numFmtId="0" fontId="2" fillId="3" borderId="22" xfId="0" applyFont="1" applyFill="1" applyBorder="1"/>
    <xf numFmtId="0" fontId="3" fillId="3" borderId="23" xfId="0" applyFont="1" applyFill="1" applyBorder="1"/>
    <xf numFmtId="0" fontId="3" fillId="3" borderId="24" xfId="0" applyFont="1" applyFill="1" applyBorder="1"/>
    <xf numFmtId="0" fontId="3" fillId="3" borderId="25" xfId="0" applyFont="1" applyFill="1" applyBorder="1"/>
    <xf numFmtId="0" fontId="3" fillId="3" borderId="26" xfId="0" applyFont="1" applyFill="1" applyBorder="1"/>
    <xf numFmtId="0" fontId="3" fillId="3" borderId="27" xfId="0" applyFont="1" applyFill="1" applyBorder="1"/>
    <xf numFmtId="0" fontId="3" fillId="3" borderId="28" xfId="0" applyFont="1" applyFill="1" applyBorder="1"/>
    <xf numFmtId="0" fontId="3" fillId="3" borderId="27" xfId="1" applyFont="1" applyFill="1" applyBorder="1"/>
    <xf numFmtId="0" fontId="3" fillId="3" borderId="29" xfId="0" applyFont="1" applyFill="1" applyBorder="1"/>
    <xf numFmtId="0" fontId="3" fillId="3" borderId="30" xfId="0" applyFont="1" applyFill="1" applyBorder="1"/>
    <xf numFmtId="0" fontId="2" fillId="3" borderId="30" xfId="0" applyFont="1" applyFill="1" applyBorder="1"/>
    <xf numFmtId="0" fontId="2" fillId="3" borderId="30" xfId="1" applyFont="1" applyFill="1" applyBorder="1"/>
    <xf numFmtId="0" fontId="2" fillId="3" borderId="18" xfId="1" applyFont="1" applyFill="1" applyBorder="1"/>
    <xf numFmtId="0" fontId="2" fillId="3" borderId="32" xfId="1" applyFont="1" applyFill="1" applyBorder="1"/>
    <xf numFmtId="0" fontId="2" fillId="3" borderId="33" xfId="0" applyFont="1" applyFill="1" applyBorder="1"/>
    <xf numFmtId="0" fontId="2" fillId="3" borderId="33" xfId="1" applyFont="1" applyFill="1" applyBorder="1"/>
    <xf numFmtId="0" fontId="0" fillId="3" borderId="18" xfId="0" applyFill="1" applyBorder="1"/>
    <xf numFmtId="0" fontId="1" fillId="3" borderId="18" xfId="1" applyFill="1" applyBorder="1"/>
    <xf numFmtId="0" fontId="0" fillId="0" borderId="34" xfId="0" applyBorder="1"/>
    <xf numFmtId="0" fontId="0" fillId="0" borderId="31" xfId="0" applyBorder="1"/>
    <xf numFmtId="0" fontId="0" fillId="0" borderId="35" xfId="0" applyBorder="1"/>
    <xf numFmtId="0" fontId="0" fillId="0" borderId="18" xfId="0" applyBorder="1"/>
    <xf numFmtId="0" fontId="0" fillId="0" borderId="30" xfId="0" applyBorder="1"/>
    <xf numFmtId="0" fontId="3" fillId="3" borderId="34" xfId="1" applyFont="1" applyFill="1" applyBorder="1"/>
    <xf numFmtId="0" fontId="0" fillId="0" borderId="22" xfId="0" applyBorder="1"/>
    <xf numFmtId="0" fontId="0" fillId="0" borderId="36" xfId="0" applyBorder="1"/>
    <xf numFmtId="0" fontId="0" fillId="0" borderId="0" xfId="0" applyBorder="1"/>
    <xf numFmtId="0" fontId="0" fillId="0" borderId="10" xfId="0" applyFill="1" applyBorder="1"/>
    <xf numFmtId="0" fontId="0" fillId="0" borderId="37" xfId="0" applyBorder="1"/>
    <xf numFmtId="0" fontId="0" fillId="0" borderId="38" xfId="0" applyBorder="1"/>
    <xf numFmtId="0" fontId="0" fillId="0" borderId="39" xfId="0" applyBorder="1"/>
    <xf numFmtId="0" fontId="0" fillId="0" borderId="40" xfId="0" applyBorder="1"/>
    <xf numFmtId="0" fontId="0" fillId="0" borderId="41" xfId="0" applyBorder="1"/>
    <xf numFmtId="0" fontId="0" fillId="0" borderId="42" xfId="0" applyBorder="1"/>
    <xf numFmtId="0" fontId="0" fillId="0" borderId="43" xfId="0" applyBorder="1"/>
    <xf numFmtId="0" fontId="0" fillId="0" borderId="45" xfId="0" applyBorder="1"/>
    <xf numFmtId="0" fontId="0" fillId="0" borderId="46" xfId="0" applyBorder="1"/>
    <xf numFmtId="0" fontId="0" fillId="0" borderId="47" xfId="0" applyBorder="1"/>
    <xf numFmtId="0" fontId="0" fillId="0" borderId="48" xfId="0" applyBorder="1"/>
    <xf numFmtId="0" fontId="2" fillId="3" borderId="49" xfId="0" applyFont="1" applyFill="1" applyBorder="1"/>
    <xf numFmtId="0" fontId="2" fillId="3" borderId="50" xfId="0" applyFont="1" applyFill="1" applyBorder="1"/>
    <xf numFmtId="0" fontId="3" fillId="3" borderId="51" xfId="0" applyFont="1" applyFill="1" applyBorder="1"/>
    <xf numFmtId="0" fontId="3" fillId="3" borderId="52" xfId="0" applyFont="1" applyFill="1" applyBorder="1"/>
    <xf numFmtId="0" fontId="0" fillId="0" borderId="53" xfId="0" applyBorder="1"/>
    <xf numFmtId="0" fontId="3" fillId="3" borderId="54" xfId="0" applyFont="1" applyFill="1" applyBorder="1"/>
    <xf numFmtId="0" fontId="0" fillId="0" borderId="55" xfId="0" applyBorder="1"/>
    <xf numFmtId="0" fontId="3" fillId="3" borderId="57" xfId="0" applyFont="1" applyFill="1" applyBorder="1"/>
    <xf numFmtId="0" fontId="3" fillId="3" borderId="56" xfId="0" applyFont="1" applyFill="1" applyBorder="1"/>
    <xf numFmtId="0" fontId="0" fillId="0" borderId="44" xfId="0" applyBorder="1"/>
    <xf numFmtId="0" fontId="3" fillId="3" borderId="18" xfId="0" applyFont="1" applyFill="1" applyBorder="1"/>
    <xf numFmtId="0" fontId="3" fillId="3" borderId="18" xfId="1" applyFont="1" applyFill="1" applyBorder="1"/>
    <xf numFmtId="0" fontId="3" fillId="3" borderId="58" xfId="0" applyFont="1" applyFill="1" applyBorder="1"/>
    <xf numFmtId="0" fontId="3" fillId="3" borderId="59" xfId="0" applyFont="1" applyFill="1" applyBorder="1"/>
    <xf numFmtId="0" fontId="0" fillId="0" borderId="60" xfId="0" applyBorder="1"/>
  </cellXfs>
  <cellStyles count="2">
    <cellStyle name="Good" xfId="1" builtinId="26"/>
    <cellStyle name="Normal" xfId="0" builtinId="0"/>
  </cellStyles>
  <dxfs count="13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Z111"/>
  <sheetViews>
    <sheetView tabSelected="1" topLeftCell="E40" zoomScale="115" zoomScaleNormal="115" workbookViewId="0">
      <selection activeCell="J58" sqref="J58"/>
    </sheetView>
  </sheetViews>
  <sheetFormatPr defaultRowHeight="15" x14ac:dyDescent="0.25"/>
  <cols>
    <col min="3" max="3" width="3.42578125" customWidth="1"/>
    <col min="4" max="4" width="21.140625" customWidth="1"/>
    <col min="5" max="5" width="70" customWidth="1"/>
    <col min="6" max="6" width="11" customWidth="1"/>
    <col min="7" max="7" width="3.85546875" customWidth="1"/>
    <col min="8" max="8" width="14.7109375" customWidth="1"/>
    <col min="9" max="9" width="20.85546875" customWidth="1"/>
    <col min="10" max="10" width="20.28515625" customWidth="1"/>
    <col min="11" max="11" width="14" customWidth="1"/>
    <col min="12" max="12" width="16.140625" customWidth="1"/>
    <col min="13" max="13" width="6.140625" customWidth="1"/>
    <col min="14" max="14" width="18.7109375" customWidth="1"/>
    <col min="15" max="15" width="11.28515625" customWidth="1"/>
    <col min="16" max="16" width="23.5703125" customWidth="1"/>
    <col min="17" max="17" width="22.7109375" customWidth="1"/>
    <col min="18" max="18" width="5.28515625" customWidth="1"/>
    <col min="19" max="19" width="12.42578125" customWidth="1"/>
    <col min="21" max="21" width="2.7109375" customWidth="1"/>
    <col min="22" max="22" width="17" customWidth="1"/>
    <col min="23" max="23" width="5.42578125" customWidth="1"/>
    <col min="24" max="24" width="5.5703125" customWidth="1"/>
    <col min="25" max="25" width="13.140625" customWidth="1"/>
  </cols>
  <sheetData>
    <row r="1" spans="2:26" x14ac:dyDescent="0.25">
      <c r="B1" t="s">
        <v>11</v>
      </c>
    </row>
    <row r="2" spans="2:26" x14ac:dyDescent="0.25">
      <c r="B2" s="11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5"/>
    </row>
    <row r="3" spans="2:26" x14ac:dyDescent="0.25">
      <c r="B3" s="5"/>
      <c r="C3" s="1" t="s">
        <v>0</v>
      </c>
      <c r="D3" s="2"/>
      <c r="E3" s="3"/>
      <c r="G3" s="1" t="s">
        <v>12</v>
      </c>
      <c r="H3" s="2"/>
      <c r="I3" s="2"/>
      <c r="J3" s="2"/>
      <c r="K3" s="3"/>
      <c r="L3" s="55"/>
      <c r="M3" s="1" t="s">
        <v>13</v>
      </c>
      <c r="N3" s="2"/>
      <c r="O3" s="2"/>
      <c r="P3" s="2"/>
      <c r="Q3" s="3"/>
      <c r="Z3" s="7"/>
    </row>
    <row r="4" spans="2:26" x14ac:dyDescent="0.25">
      <c r="B4" s="5"/>
      <c r="C4" s="1" t="s">
        <v>1</v>
      </c>
      <c r="D4" s="4" t="s">
        <v>2</v>
      </c>
      <c r="E4" s="3" t="s">
        <v>3</v>
      </c>
      <c r="G4" s="1" t="s">
        <v>1</v>
      </c>
      <c r="H4" s="4" t="s">
        <v>2</v>
      </c>
      <c r="I4" s="2" t="s">
        <v>3</v>
      </c>
      <c r="J4" s="4" t="s">
        <v>14</v>
      </c>
      <c r="K4" s="3" t="s">
        <v>15</v>
      </c>
      <c r="L4" s="55"/>
      <c r="M4" s="1" t="s">
        <v>1</v>
      </c>
      <c r="N4" s="4" t="s">
        <v>16</v>
      </c>
      <c r="O4" s="2" t="s">
        <v>3</v>
      </c>
      <c r="P4" s="4" t="s">
        <v>17</v>
      </c>
      <c r="Q4" s="3" t="s">
        <v>18</v>
      </c>
      <c r="Z4" s="7"/>
    </row>
    <row r="5" spans="2:26" x14ac:dyDescent="0.25">
      <c r="B5" s="5"/>
      <c r="C5" s="5">
        <v>1</v>
      </c>
      <c r="D5" s="6" t="s">
        <v>41</v>
      </c>
      <c r="E5" s="7" t="s">
        <v>61</v>
      </c>
      <c r="G5" s="5">
        <v>1</v>
      </c>
      <c r="H5" s="6" t="s">
        <v>81</v>
      </c>
      <c r="I5" s="56" t="s">
        <v>19</v>
      </c>
      <c r="J5" s="6" t="s">
        <v>20</v>
      </c>
      <c r="K5" s="7" t="s">
        <v>21</v>
      </c>
      <c r="L5" s="55"/>
      <c r="M5" s="5">
        <v>1</v>
      </c>
      <c r="N5" s="16" t="s">
        <v>22</v>
      </c>
      <c r="O5" t="s">
        <v>23</v>
      </c>
      <c r="P5" s="6">
        <v>20</v>
      </c>
      <c r="Q5" s="17" t="s">
        <v>24</v>
      </c>
      <c r="Z5" s="7"/>
    </row>
    <row r="6" spans="2:26" x14ac:dyDescent="0.25">
      <c r="B6" s="5"/>
      <c r="C6" s="5">
        <v>2</v>
      </c>
      <c r="D6" s="6" t="s">
        <v>42</v>
      </c>
      <c r="E6" s="7" t="s">
        <v>62</v>
      </c>
      <c r="G6" s="5">
        <v>2</v>
      </c>
      <c r="H6" s="6" t="s">
        <v>82</v>
      </c>
      <c r="I6" s="56" t="s">
        <v>25</v>
      </c>
      <c r="J6" s="6" t="s">
        <v>20</v>
      </c>
      <c r="K6" s="7" t="s">
        <v>21</v>
      </c>
      <c r="L6" s="55"/>
      <c r="M6" s="5">
        <v>2</v>
      </c>
      <c r="N6" s="16" t="s">
        <v>26</v>
      </c>
      <c r="O6" t="s">
        <v>27</v>
      </c>
      <c r="P6" s="6">
        <v>21</v>
      </c>
      <c r="Q6" s="17" t="s">
        <v>24</v>
      </c>
      <c r="Z6" s="7"/>
    </row>
    <row r="7" spans="2:26" x14ac:dyDescent="0.25">
      <c r="B7" s="5"/>
      <c r="C7" s="5">
        <v>3</v>
      </c>
      <c r="D7" s="6" t="s">
        <v>43</v>
      </c>
      <c r="E7" s="7" t="s">
        <v>63</v>
      </c>
      <c r="G7" s="5">
        <v>3</v>
      </c>
      <c r="H7" s="6" t="s">
        <v>83</v>
      </c>
      <c r="I7" s="56" t="s">
        <v>28</v>
      </c>
      <c r="J7" s="6" t="s">
        <v>20</v>
      </c>
      <c r="K7" s="7" t="s">
        <v>21</v>
      </c>
      <c r="L7" s="55"/>
      <c r="M7" s="5">
        <v>3</v>
      </c>
      <c r="N7" s="16" t="s">
        <v>29</v>
      </c>
      <c r="O7" t="s">
        <v>30</v>
      </c>
      <c r="P7" s="6">
        <v>22</v>
      </c>
      <c r="Q7" s="17" t="s">
        <v>24</v>
      </c>
      <c r="Z7" s="7"/>
    </row>
    <row r="8" spans="2:26" x14ac:dyDescent="0.25">
      <c r="B8" s="5"/>
      <c r="C8" s="5">
        <v>4</v>
      </c>
      <c r="D8" s="6" t="s">
        <v>44</v>
      </c>
      <c r="E8" s="7" t="s">
        <v>64</v>
      </c>
      <c r="G8" s="8">
        <v>4</v>
      </c>
      <c r="H8" s="9" t="s">
        <v>84</v>
      </c>
      <c r="I8" s="14" t="s">
        <v>31</v>
      </c>
      <c r="J8" s="9" t="s">
        <v>20</v>
      </c>
      <c r="K8" s="10" t="s">
        <v>21</v>
      </c>
      <c r="L8" s="55"/>
      <c r="M8" s="8">
        <v>4</v>
      </c>
      <c r="N8" s="18" t="s">
        <v>32</v>
      </c>
      <c r="O8" s="14" t="s">
        <v>33</v>
      </c>
      <c r="P8" s="9">
        <v>23</v>
      </c>
      <c r="Q8" s="19" t="s">
        <v>24</v>
      </c>
      <c r="Z8" s="7"/>
    </row>
    <row r="9" spans="2:26" x14ac:dyDescent="0.25">
      <c r="B9" s="5"/>
      <c r="C9" s="5">
        <v>5</v>
      </c>
      <c r="D9" s="6" t="s">
        <v>45</v>
      </c>
      <c r="E9" s="7" t="s">
        <v>65</v>
      </c>
      <c r="L9" s="52"/>
      <c r="M9" s="52"/>
      <c r="N9" s="52"/>
      <c r="Z9" s="7"/>
    </row>
    <row r="10" spans="2:26" x14ac:dyDescent="0.25">
      <c r="B10" s="5"/>
      <c r="C10" s="5">
        <v>6</v>
      </c>
      <c r="D10" s="6" t="s">
        <v>46</v>
      </c>
      <c r="E10" s="7" t="s">
        <v>66</v>
      </c>
      <c r="Z10" s="7"/>
    </row>
    <row r="11" spans="2:26" x14ac:dyDescent="0.25">
      <c r="B11" s="5"/>
      <c r="C11" s="5">
        <v>7</v>
      </c>
      <c r="D11" s="6" t="s">
        <v>47</v>
      </c>
      <c r="E11" s="7" t="s">
        <v>67</v>
      </c>
      <c r="Z11" s="7"/>
    </row>
    <row r="12" spans="2:26" x14ac:dyDescent="0.25">
      <c r="B12" s="5"/>
      <c r="C12" s="5">
        <v>8</v>
      </c>
      <c r="D12" s="6" t="s">
        <v>48</v>
      </c>
      <c r="E12" s="7" t="s">
        <v>68</v>
      </c>
      <c r="Z12" s="7"/>
    </row>
    <row r="13" spans="2:26" x14ac:dyDescent="0.25">
      <c r="B13" s="5"/>
      <c r="C13" s="5">
        <v>9</v>
      </c>
      <c r="D13" s="6" t="s">
        <v>49</v>
      </c>
      <c r="E13" s="7" t="s">
        <v>69</v>
      </c>
      <c r="Z13" s="7"/>
    </row>
    <row r="14" spans="2:26" x14ac:dyDescent="0.25">
      <c r="B14" s="5"/>
      <c r="C14" s="5">
        <v>10</v>
      </c>
      <c r="D14" s="6" t="s">
        <v>50</v>
      </c>
      <c r="E14" s="7" t="s">
        <v>70</v>
      </c>
      <c r="L14" s="49"/>
      <c r="Z14" s="7"/>
    </row>
    <row r="15" spans="2:26" x14ac:dyDescent="0.25">
      <c r="B15" s="5"/>
      <c r="C15" s="5">
        <v>11</v>
      </c>
      <c r="D15" s="6" t="s">
        <v>51</v>
      </c>
      <c r="E15" s="7" t="s">
        <v>71</v>
      </c>
      <c r="Z15" s="7"/>
    </row>
    <row r="16" spans="2:26" x14ac:dyDescent="0.25">
      <c r="B16" s="5"/>
      <c r="C16" s="5">
        <v>12</v>
      </c>
      <c r="D16" s="6" t="s">
        <v>52</v>
      </c>
      <c r="E16" s="7" t="s">
        <v>72</v>
      </c>
      <c r="Z16" s="7"/>
    </row>
    <row r="17" spans="2:26" x14ac:dyDescent="0.25">
      <c r="B17" s="5"/>
      <c r="C17" s="5">
        <v>13</v>
      </c>
      <c r="D17" s="6" t="s">
        <v>53</v>
      </c>
      <c r="E17" s="7" t="s">
        <v>73</v>
      </c>
      <c r="Z17" s="7"/>
    </row>
    <row r="18" spans="2:26" x14ac:dyDescent="0.25">
      <c r="B18" s="5"/>
      <c r="C18" s="5">
        <v>14</v>
      </c>
      <c r="D18" s="6" t="s">
        <v>54</v>
      </c>
      <c r="E18" s="7" t="s">
        <v>74</v>
      </c>
      <c r="Z18" s="7"/>
    </row>
    <row r="19" spans="2:26" x14ac:dyDescent="0.25">
      <c r="B19" s="5"/>
      <c r="C19" s="5">
        <v>15</v>
      </c>
      <c r="D19" s="6" t="s">
        <v>55</v>
      </c>
      <c r="E19" s="7" t="s">
        <v>75</v>
      </c>
      <c r="Z19" s="7"/>
    </row>
    <row r="20" spans="2:26" x14ac:dyDescent="0.25">
      <c r="B20" s="5"/>
      <c r="C20" s="5">
        <v>16</v>
      </c>
      <c r="D20" s="6" t="s">
        <v>56</v>
      </c>
      <c r="E20" s="7" t="s">
        <v>76</v>
      </c>
      <c r="Z20" s="7"/>
    </row>
    <row r="21" spans="2:26" x14ac:dyDescent="0.25">
      <c r="B21" s="5"/>
      <c r="C21" s="5">
        <v>17</v>
      </c>
      <c r="D21" s="6" t="s">
        <v>57</v>
      </c>
      <c r="E21" s="7" t="s">
        <v>77</v>
      </c>
      <c r="Z21" s="7"/>
    </row>
    <row r="22" spans="2:26" x14ac:dyDescent="0.25">
      <c r="B22" s="5"/>
      <c r="C22" s="5">
        <v>18</v>
      </c>
      <c r="D22" s="6" t="s">
        <v>58</v>
      </c>
      <c r="E22" s="7" t="s">
        <v>78</v>
      </c>
      <c r="Z22" s="7"/>
    </row>
    <row r="23" spans="2:26" x14ac:dyDescent="0.25">
      <c r="B23" s="5"/>
      <c r="C23" s="5">
        <v>19</v>
      </c>
      <c r="D23" s="6" t="s">
        <v>59</v>
      </c>
      <c r="E23" s="7" t="s">
        <v>79</v>
      </c>
      <c r="Z23" s="7"/>
    </row>
    <row r="24" spans="2:26" x14ac:dyDescent="0.25">
      <c r="B24" s="5"/>
      <c r="C24" s="8">
        <v>20</v>
      </c>
      <c r="D24" s="9" t="s">
        <v>60</v>
      </c>
      <c r="E24" s="10" t="s">
        <v>80</v>
      </c>
      <c r="Z24" s="7"/>
    </row>
    <row r="25" spans="2:26" x14ac:dyDescent="0.25">
      <c r="B25" s="8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0"/>
    </row>
    <row r="27" spans="2:26" x14ac:dyDescent="0.25">
      <c r="B27" s="11"/>
      <c r="C27" s="20"/>
      <c r="D27" s="20"/>
      <c r="E27" s="20"/>
      <c r="F27" s="20"/>
      <c r="G27" s="20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5"/>
    </row>
    <row r="28" spans="2:26" x14ac:dyDescent="0.25">
      <c r="B28" s="5"/>
      <c r="C28" t="s">
        <v>10</v>
      </c>
      <c r="D28" s="21"/>
      <c r="E28" s="21"/>
      <c r="F28" s="21"/>
      <c r="G28" s="22"/>
      <c r="I28" t="s">
        <v>34</v>
      </c>
      <c r="N28" s="56"/>
      <c r="O28" s="56"/>
      <c r="R28" s="50"/>
      <c r="S28" s="7"/>
    </row>
    <row r="29" spans="2:26" x14ac:dyDescent="0.25">
      <c r="B29" s="5"/>
      <c r="C29" s="23" t="s">
        <v>35</v>
      </c>
      <c r="D29" s="24"/>
      <c r="E29" s="24"/>
      <c r="F29" s="25"/>
      <c r="G29" s="26"/>
      <c r="I29" s="61" t="s">
        <v>36</v>
      </c>
      <c r="J29" s="2"/>
      <c r="K29" s="2"/>
      <c r="L29" s="2"/>
      <c r="M29" s="65"/>
      <c r="N29" s="56"/>
      <c r="O29" s="56"/>
      <c r="P29" s="54"/>
      <c r="Q29" s="51"/>
      <c r="R29" s="51"/>
      <c r="S29" s="7"/>
    </row>
    <row r="30" spans="2:26" x14ac:dyDescent="0.25">
      <c r="B30" s="5"/>
      <c r="C30" s="27" t="s">
        <v>1</v>
      </c>
      <c r="D30" s="28" t="s">
        <v>7</v>
      </c>
      <c r="E30" s="29" t="s">
        <v>37</v>
      </c>
      <c r="F30" s="28" t="s">
        <v>1</v>
      </c>
      <c r="G30" s="30"/>
      <c r="I30" s="62" t="s">
        <v>87</v>
      </c>
      <c r="J30" s="2" t="s">
        <v>7</v>
      </c>
      <c r="K30" s="4" t="s">
        <v>85</v>
      </c>
      <c r="L30" s="1" t="s">
        <v>86</v>
      </c>
      <c r="M30" s="66" t="s">
        <v>38</v>
      </c>
      <c r="N30" s="56"/>
      <c r="P30" s="54"/>
      <c r="Q30" s="51"/>
      <c r="R30" s="51"/>
      <c r="S30" s="7"/>
    </row>
    <row r="31" spans="2:26" x14ac:dyDescent="0.25">
      <c r="B31" s="5"/>
      <c r="C31" s="31">
        <v>1</v>
      </c>
      <c r="D31" s="32" t="s">
        <v>19</v>
      </c>
      <c r="E31" s="7" t="s">
        <v>62</v>
      </c>
      <c r="F31" s="33" t="s">
        <v>43</v>
      </c>
      <c r="G31" s="30"/>
      <c r="I31" s="78">
        <v>1</v>
      </c>
      <c r="J31" s="12" t="s">
        <v>19</v>
      </c>
      <c r="K31" s="13" t="s">
        <v>42</v>
      </c>
      <c r="L31" s="13">
        <f>IF(COUNTIF($F$31:$F$36,K31)=0,0,1)</f>
        <v>0</v>
      </c>
      <c r="M31" s="6">
        <f>SUM(L31:L43)/COUNTA(L31:L43)</f>
        <v>0.30769230769230771</v>
      </c>
      <c r="P31" s="54"/>
      <c r="Q31" s="51"/>
      <c r="R31" s="51"/>
      <c r="S31" s="7"/>
    </row>
    <row r="32" spans="2:26" x14ac:dyDescent="0.25">
      <c r="B32" s="5"/>
      <c r="C32" s="34"/>
      <c r="D32" s="35"/>
      <c r="E32" s="7" t="s">
        <v>69</v>
      </c>
      <c r="F32" s="37" t="s">
        <v>46</v>
      </c>
      <c r="G32" s="26"/>
      <c r="I32" s="63"/>
      <c r="K32" s="6" t="s">
        <v>43</v>
      </c>
      <c r="L32" s="13">
        <f>IF(COUNTIF($F$31:$F$36,K32)=0,0,1)</f>
        <v>1</v>
      </c>
      <c r="M32" s="6"/>
      <c r="P32" s="54"/>
      <c r="Q32" s="51"/>
      <c r="R32" s="51"/>
      <c r="S32" s="7"/>
    </row>
    <row r="33" spans="2:19" x14ac:dyDescent="0.25">
      <c r="B33" s="5"/>
      <c r="C33" s="34"/>
      <c r="D33" s="35"/>
      <c r="E33" s="7" t="s">
        <v>67</v>
      </c>
      <c r="F33" s="75" t="s">
        <v>47</v>
      </c>
      <c r="G33" s="26"/>
      <c r="I33" s="63"/>
      <c r="K33" s="6" t="s">
        <v>48</v>
      </c>
      <c r="L33" s="13">
        <f>IF(COUNTIF($F$31:$F$36,K33)=0,0,1)</f>
        <v>0</v>
      </c>
      <c r="M33" s="6"/>
      <c r="P33" s="54"/>
      <c r="Q33" s="51"/>
      <c r="R33" s="51"/>
      <c r="S33" s="7"/>
    </row>
    <row r="34" spans="2:19" x14ac:dyDescent="0.25">
      <c r="B34" s="5"/>
      <c r="C34" s="34"/>
      <c r="D34" s="38"/>
      <c r="E34" s="36" t="s">
        <v>4</v>
      </c>
      <c r="F34" s="37" t="s">
        <v>51</v>
      </c>
      <c r="G34" s="30"/>
      <c r="I34" s="63"/>
      <c r="K34" s="6" t="s">
        <v>49</v>
      </c>
      <c r="L34" s="13">
        <f>IF(COUNTIF($F$31:$F$36,K34)=0,0,1)</f>
        <v>0</v>
      </c>
      <c r="M34" s="6"/>
      <c r="P34" s="54"/>
      <c r="Q34" s="51"/>
      <c r="R34" s="51"/>
      <c r="S34" s="7"/>
    </row>
    <row r="35" spans="2:19" x14ac:dyDescent="0.25">
      <c r="B35" s="5"/>
      <c r="C35" s="71"/>
      <c r="D35" s="76"/>
      <c r="E35" s="36" t="s">
        <v>5</v>
      </c>
      <c r="F35" s="35" t="s">
        <v>56</v>
      </c>
      <c r="G35" s="30"/>
      <c r="I35" s="63"/>
      <c r="K35" s="6" t="s">
        <v>50</v>
      </c>
      <c r="L35" s="13">
        <f>IF(COUNTIF($F$31:$F$36,K35)=0,0,1)</f>
        <v>0</v>
      </c>
      <c r="M35" s="6"/>
      <c r="P35" s="54"/>
      <c r="Q35" s="51"/>
      <c r="R35" s="51"/>
      <c r="S35" s="7"/>
    </row>
    <row r="36" spans="2:19" x14ac:dyDescent="0.25">
      <c r="B36" s="5"/>
      <c r="C36" s="72"/>
      <c r="D36" s="77"/>
      <c r="E36" s="73" t="s">
        <v>6</v>
      </c>
      <c r="F36" s="74" t="s">
        <v>57</v>
      </c>
      <c r="G36" s="69"/>
      <c r="I36" s="63"/>
      <c r="K36" s="6" t="s">
        <v>51</v>
      </c>
      <c r="L36" s="13">
        <f>IF(COUNTIF($F$31:$F$36,K36)=0,0,1)</f>
        <v>1</v>
      </c>
      <c r="M36" s="6"/>
      <c r="P36" s="54"/>
      <c r="Q36" s="51"/>
      <c r="R36" s="51"/>
      <c r="S36" s="7"/>
    </row>
    <row r="37" spans="2:19" x14ac:dyDescent="0.25">
      <c r="B37" s="5"/>
      <c r="C37" s="81"/>
      <c r="D37" s="81"/>
      <c r="E37" s="83"/>
      <c r="F37" s="82"/>
      <c r="G37" s="22"/>
      <c r="I37" s="63"/>
      <c r="K37" s="6" t="s">
        <v>52</v>
      </c>
      <c r="L37" s="13">
        <f>IF(COUNTIF($F$31:$F$36,K37)=0,0,1)</f>
        <v>0</v>
      </c>
      <c r="M37" s="6"/>
      <c r="P37" s="54"/>
      <c r="Q37" s="51"/>
      <c r="R37" s="51"/>
      <c r="S37" s="7"/>
    </row>
    <row r="38" spans="2:19" x14ac:dyDescent="0.25">
      <c r="B38" s="5"/>
      <c r="C38" s="79"/>
      <c r="D38" s="79"/>
      <c r="E38" s="51"/>
      <c r="F38" s="79"/>
      <c r="G38" s="22"/>
      <c r="I38" s="63"/>
      <c r="K38" s="6" t="s">
        <v>54</v>
      </c>
      <c r="L38" s="13">
        <f>IF(COUNTIF($F$31:$F$36,K38)=0,0,1)</f>
        <v>0</v>
      </c>
      <c r="M38" s="6"/>
      <c r="P38" s="54"/>
      <c r="Q38" s="51"/>
      <c r="R38" s="51"/>
      <c r="S38" s="7"/>
    </row>
    <row r="39" spans="2:19" x14ac:dyDescent="0.25">
      <c r="B39" s="5"/>
      <c r="C39" s="79"/>
      <c r="D39" s="79"/>
      <c r="E39" s="51"/>
      <c r="F39" s="79"/>
      <c r="G39" s="70">
        <v>15</v>
      </c>
      <c r="I39" s="63"/>
      <c r="K39" s="6" t="s">
        <v>55</v>
      </c>
      <c r="L39" s="13">
        <f>IF(COUNTIF($F$31:$F$36,K39)=0,0,1)</f>
        <v>0</v>
      </c>
      <c r="M39" s="6"/>
      <c r="P39" s="54"/>
      <c r="Q39" s="51"/>
      <c r="R39" s="51"/>
      <c r="S39" s="7"/>
    </row>
    <row r="40" spans="2:19" x14ac:dyDescent="0.25">
      <c r="B40" s="5"/>
      <c r="C40" s="79"/>
      <c r="D40" s="79"/>
      <c r="E40" s="51"/>
      <c r="F40" s="79"/>
      <c r="G40" s="30"/>
      <c r="I40" s="63"/>
      <c r="K40" s="6" t="s">
        <v>56</v>
      </c>
      <c r="L40" s="13">
        <f>IF(COUNTIF($F$31:$F$36,K40)=0,0,1)</f>
        <v>1</v>
      </c>
      <c r="M40" s="6"/>
      <c r="P40" s="54"/>
      <c r="Q40" s="51"/>
      <c r="R40" s="51"/>
      <c r="S40" s="7"/>
    </row>
    <row r="41" spans="2:19" x14ac:dyDescent="0.25">
      <c r="B41" s="5"/>
      <c r="C41" s="79"/>
      <c r="D41" s="79"/>
      <c r="E41" s="51"/>
      <c r="F41" s="79"/>
      <c r="G41" s="30"/>
      <c r="I41" s="63"/>
      <c r="K41" s="6" t="s">
        <v>57</v>
      </c>
      <c r="L41" s="13">
        <f>IF(COUNTIF($F$31:$F$36,K41)=0,0,1)</f>
        <v>1</v>
      </c>
      <c r="M41" s="6"/>
      <c r="P41" s="54"/>
      <c r="Q41" s="51"/>
      <c r="R41" s="51"/>
      <c r="S41" s="7"/>
    </row>
    <row r="42" spans="2:19" x14ac:dyDescent="0.25">
      <c r="B42" s="5"/>
      <c r="C42" s="79"/>
      <c r="D42" s="79"/>
      <c r="E42" s="51"/>
      <c r="F42" s="79"/>
      <c r="G42" s="30"/>
      <c r="I42" s="63"/>
      <c r="K42" s="6" t="s">
        <v>58</v>
      </c>
      <c r="L42" s="13">
        <f>IF(COUNTIF($F$31:$F$36,K42)=0,0,1)</f>
        <v>0</v>
      </c>
      <c r="M42" s="6"/>
      <c r="P42" s="54"/>
      <c r="Q42" s="51"/>
      <c r="R42" s="51"/>
      <c r="S42" s="7"/>
    </row>
    <row r="43" spans="2:19" x14ac:dyDescent="0.25">
      <c r="B43" s="5"/>
      <c r="C43" s="79"/>
      <c r="D43" s="79"/>
      <c r="E43" s="79"/>
      <c r="F43" s="80"/>
      <c r="G43" s="26"/>
      <c r="I43" s="64"/>
      <c r="K43" s="9" t="s">
        <v>60</v>
      </c>
      <c r="L43" s="13">
        <f>IF(COUNTIF($F$31:$F$36,K43)=0,0,1)</f>
        <v>0</v>
      </c>
      <c r="M43" s="6"/>
      <c r="P43" s="54"/>
      <c r="Q43" s="51"/>
      <c r="R43" s="51"/>
      <c r="S43" s="7"/>
    </row>
    <row r="44" spans="2:19" x14ac:dyDescent="0.25">
      <c r="B44" s="5"/>
      <c r="C44" s="79"/>
      <c r="D44" s="79"/>
      <c r="E44" s="79"/>
      <c r="F44" s="79"/>
      <c r="G44" s="30"/>
      <c r="I44" s="62">
        <v>2</v>
      </c>
      <c r="J44" s="12" t="s">
        <v>25</v>
      </c>
      <c r="K44" s="13" t="s">
        <v>44</v>
      </c>
      <c r="L44" s="13">
        <f>IF(COUNTIF($F$31:$F$36,K44)=0,0,1)</f>
        <v>0</v>
      </c>
      <c r="M44" s="13">
        <f>SUM(L44:L47)/COUNTA(L44:L47)</f>
        <v>0.5</v>
      </c>
      <c r="P44" s="54"/>
      <c r="Q44" s="51"/>
      <c r="R44" s="51"/>
      <c r="S44" s="7"/>
    </row>
    <row r="45" spans="2:19" x14ac:dyDescent="0.25">
      <c r="B45" s="5"/>
      <c r="C45" s="79"/>
      <c r="D45" s="79"/>
      <c r="E45" s="79"/>
      <c r="F45" s="79"/>
      <c r="G45" s="30"/>
      <c r="I45" s="63"/>
      <c r="K45" s="6" t="s">
        <v>45</v>
      </c>
      <c r="L45" s="13">
        <f>IF(COUNTIF($F$31:$F$36,K45)=0,0,1)</f>
        <v>0</v>
      </c>
      <c r="M45" s="6"/>
      <c r="P45" s="54"/>
      <c r="Q45" s="51"/>
      <c r="R45" s="51"/>
      <c r="S45" s="7"/>
    </row>
    <row r="46" spans="2:19" x14ac:dyDescent="0.25">
      <c r="B46" s="5"/>
      <c r="C46" s="79"/>
      <c r="D46" s="79"/>
      <c r="E46" s="51"/>
      <c r="F46" s="79"/>
      <c r="G46" s="30"/>
      <c r="I46" s="63"/>
      <c r="K46" s="6" t="s">
        <v>46</v>
      </c>
      <c r="L46" s="13">
        <f>IF(COUNTIF($F$31:$F$36,K46)=0,0,1)</f>
        <v>1</v>
      </c>
      <c r="M46" s="6"/>
      <c r="P46" s="54"/>
      <c r="Q46" s="51"/>
      <c r="R46" s="51"/>
      <c r="S46" s="7"/>
    </row>
    <row r="47" spans="2:19" x14ac:dyDescent="0.25">
      <c r="B47" s="5"/>
      <c r="C47" s="39"/>
      <c r="D47" s="39"/>
      <c r="E47" s="39"/>
      <c r="F47" s="39"/>
      <c r="G47" s="30"/>
      <c r="I47" s="63"/>
      <c r="K47" s="6" t="s">
        <v>56</v>
      </c>
      <c r="L47" s="13">
        <f>IF(COUNTIF($F$31:$F$36,K47)=0,0,1)</f>
        <v>1</v>
      </c>
      <c r="M47" s="6"/>
      <c r="P47" s="54"/>
      <c r="Q47" s="51"/>
      <c r="R47" s="51"/>
      <c r="S47" s="7"/>
    </row>
    <row r="48" spans="2:19" x14ac:dyDescent="0.25">
      <c r="B48" s="5"/>
      <c r="C48" s="40"/>
      <c r="D48" s="40"/>
      <c r="E48" s="40"/>
      <c r="F48" s="41"/>
      <c r="G48" s="42"/>
      <c r="I48" s="62">
        <v>3</v>
      </c>
      <c r="J48" s="12" t="s">
        <v>8</v>
      </c>
      <c r="K48" s="13" t="s">
        <v>41</v>
      </c>
      <c r="L48" s="13">
        <f>IF(COUNTIF($F$31:$F$36,K48)=0,0,1)</f>
        <v>0</v>
      </c>
      <c r="M48" s="13">
        <f>SUM(L48:L50)/COUNTA(L48:L50)</f>
        <v>0.33333333333333331</v>
      </c>
      <c r="P48" s="54"/>
      <c r="Q48" s="51"/>
      <c r="R48" s="51"/>
      <c r="S48" s="7"/>
    </row>
    <row r="49" spans="2:19" x14ac:dyDescent="0.25">
      <c r="B49" s="5"/>
      <c r="C49" s="22"/>
      <c r="D49" s="22"/>
      <c r="E49" s="22"/>
      <c r="F49" s="42"/>
      <c r="G49" s="42"/>
      <c r="I49" s="63"/>
      <c r="K49" s="6" t="s">
        <v>47</v>
      </c>
      <c r="L49" s="13">
        <f>IF(COUNTIF($F$31:$F$36,K49)=0,0,1)</f>
        <v>1</v>
      </c>
      <c r="M49" s="6"/>
      <c r="P49" s="54"/>
      <c r="Q49" s="51"/>
      <c r="R49" s="51"/>
      <c r="S49" s="7"/>
    </row>
    <row r="50" spans="2:19" x14ac:dyDescent="0.25">
      <c r="B50" s="5"/>
      <c r="C50" s="22"/>
      <c r="D50" s="22"/>
      <c r="E50" s="22"/>
      <c r="F50" s="42"/>
      <c r="G50" s="43"/>
      <c r="H50" s="7"/>
      <c r="I50" s="63"/>
      <c r="K50" s="6" t="s">
        <v>59</v>
      </c>
      <c r="L50" s="13">
        <f>IF(COUNTIF($F$31:$F$36,K50)=0,0,1)</f>
        <v>0</v>
      </c>
      <c r="M50" s="6"/>
      <c r="P50" s="54"/>
      <c r="Q50" s="51"/>
      <c r="R50" s="51"/>
      <c r="S50" s="7"/>
    </row>
    <row r="51" spans="2:19" x14ac:dyDescent="0.25">
      <c r="B51" s="5"/>
      <c r="C51" s="22"/>
      <c r="D51" s="22"/>
      <c r="E51" s="22"/>
      <c r="F51" s="22"/>
      <c r="G51" s="22"/>
      <c r="I51" s="62">
        <v>4</v>
      </c>
      <c r="J51" s="12" t="s">
        <v>9</v>
      </c>
      <c r="K51" s="13" t="s">
        <v>43</v>
      </c>
      <c r="L51" s="13">
        <f>IF(COUNTIF($F$31:$F$36,K51)=0,0,1)</f>
        <v>1</v>
      </c>
      <c r="M51" s="13">
        <f>SUM(L51:L55)/COUNTA(L51:L55)</f>
        <v>0.2</v>
      </c>
      <c r="P51" s="54"/>
      <c r="Q51" s="51"/>
      <c r="R51" s="51"/>
      <c r="S51" s="7"/>
    </row>
    <row r="52" spans="2:19" x14ac:dyDescent="0.25">
      <c r="B52" s="5"/>
      <c r="C52" s="22"/>
      <c r="D52" s="22"/>
      <c r="E52" s="22"/>
      <c r="F52" s="22"/>
      <c r="G52" s="22"/>
      <c r="I52" s="63"/>
      <c r="K52" s="6" t="s">
        <v>48</v>
      </c>
      <c r="L52" s="13">
        <f>IF(COUNTIF($F$31:$F$36,K52)=0,0,1)</f>
        <v>0</v>
      </c>
      <c r="M52" s="6"/>
      <c r="P52" s="54"/>
      <c r="Q52" s="51"/>
      <c r="R52" s="51"/>
      <c r="S52" s="7"/>
    </row>
    <row r="53" spans="2:19" x14ac:dyDescent="0.25">
      <c r="B53" s="5"/>
      <c r="C53" s="22"/>
      <c r="D53" s="22"/>
      <c r="E53" s="22"/>
      <c r="F53" s="42"/>
      <c r="G53" s="42"/>
      <c r="I53" s="63"/>
      <c r="K53" s="6" t="s">
        <v>53</v>
      </c>
      <c r="L53" s="13">
        <f>IF(COUNTIF($F$31:$F$36,K53)=0,0,1)</f>
        <v>0</v>
      </c>
      <c r="M53" s="6"/>
      <c r="P53" s="54"/>
      <c r="Q53" s="51"/>
      <c r="R53" s="51"/>
      <c r="S53" s="7"/>
    </row>
    <row r="54" spans="2:19" x14ac:dyDescent="0.25">
      <c r="B54" s="5"/>
      <c r="C54" s="22"/>
      <c r="D54" s="22"/>
      <c r="E54" s="22"/>
      <c r="F54" s="22"/>
      <c r="G54" s="22"/>
      <c r="H54" s="60"/>
      <c r="I54" s="58"/>
      <c r="J54" s="58"/>
      <c r="K54" s="7" t="s">
        <v>58</v>
      </c>
      <c r="L54" s="67">
        <f>IF(COUNTIF($F$31:$F$36,K54)=0,0,1)</f>
        <v>0</v>
      </c>
      <c r="M54" s="6"/>
      <c r="P54" s="54"/>
      <c r="Q54" s="51"/>
      <c r="R54" s="51"/>
      <c r="S54" s="7"/>
    </row>
    <row r="55" spans="2:19" x14ac:dyDescent="0.25">
      <c r="B55" s="5"/>
      <c r="C55" s="22"/>
      <c r="D55" s="22"/>
      <c r="E55" s="22"/>
      <c r="F55" s="42"/>
      <c r="G55" s="42"/>
      <c r="H55" s="60"/>
      <c r="I55" s="59"/>
      <c r="J55" s="59"/>
      <c r="K55" s="57" t="s">
        <v>59</v>
      </c>
      <c r="L55" s="9">
        <f>IF(COUNTIF($F$31:$F$36,K55)=0,0,1)</f>
        <v>0</v>
      </c>
      <c r="M55" s="9"/>
      <c r="P55" s="54"/>
      <c r="Q55" s="51"/>
      <c r="R55" s="51"/>
      <c r="S55" s="7"/>
    </row>
    <row r="56" spans="2:19" x14ac:dyDescent="0.25">
      <c r="B56" s="5"/>
      <c r="C56" s="22"/>
      <c r="D56" s="22"/>
      <c r="E56" s="22"/>
      <c r="F56" s="42"/>
      <c r="G56" s="42"/>
      <c r="P56" s="54"/>
      <c r="Q56" s="51"/>
      <c r="R56" s="51"/>
      <c r="S56" s="7"/>
    </row>
    <row r="57" spans="2:19" x14ac:dyDescent="0.25">
      <c r="B57" s="5"/>
      <c r="C57" s="22"/>
      <c r="D57" s="22"/>
      <c r="E57" s="22"/>
      <c r="F57" s="22"/>
      <c r="G57" s="22"/>
      <c r="I57" t="s">
        <v>40</v>
      </c>
      <c r="K57">
        <f>MAX(M31:M54)</f>
        <v>0.5</v>
      </c>
      <c r="L57" t="s">
        <v>39</v>
      </c>
      <c r="P57" s="54"/>
      <c r="Q57" s="51"/>
      <c r="R57" s="51"/>
      <c r="S57" s="7"/>
    </row>
    <row r="58" spans="2:19" x14ac:dyDescent="0.25">
      <c r="B58" s="5"/>
      <c r="C58" s="22"/>
      <c r="D58" s="22"/>
      <c r="E58" s="22"/>
      <c r="F58" s="42"/>
      <c r="G58" s="42"/>
      <c r="P58" s="54"/>
      <c r="Q58" s="51"/>
      <c r="R58" s="51"/>
      <c r="S58" s="7"/>
    </row>
    <row r="59" spans="2:19" x14ac:dyDescent="0.25">
      <c r="B59" s="5"/>
      <c r="C59" s="22"/>
      <c r="D59" s="22"/>
      <c r="E59" s="22"/>
      <c r="F59" s="42"/>
      <c r="G59" s="42"/>
      <c r="P59" s="54"/>
      <c r="Q59" s="51"/>
      <c r="R59" s="51"/>
      <c r="S59" s="7"/>
    </row>
    <row r="60" spans="2:19" x14ac:dyDescent="0.25">
      <c r="B60" s="5"/>
      <c r="C60" s="22"/>
      <c r="D60" s="22"/>
      <c r="E60" s="22"/>
      <c r="F60" s="42"/>
      <c r="G60" s="42"/>
      <c r="S60" s="7"/>
    </row>
    <row r="61" spans="2:19" x14ac:dyDescent="0.25">
      <c r="B61" s="5"/>
      <c r="C61" s="22"/>
      <c r="D61" s="22"/>
      <c r="E61" s="22"/>
      <c r="F61" s="42"/>
      <c r="G61" s="42"/>
      <c r="I61" s="48"/>
      <c r="J61" s="48"/>
      <c r="K61" s="48"/>
      <c r="L61" s="50"/>
      <c r="M61" s="48"/>
      <c r="N61" s="48"/>
      <c r="O61" s="48"/>
      <c r="P61" s="48"/>
      <c r="Q61" s="48"/>
      <c r="R61" s="48"/>
      <c r="S61" s="7"/>
    </row>
    <row r="62" spans="2:19" x14ac:dyDescent="0.25">
      <c r="B62" s="5"/>
      <c r="C62" s="22"/>
      <c r="D62" s="22"/>
      <c r="E62" s="22"/>
      <c r="F62" s="22"/>
      <c r="G62" s="22"/>
      <c r="I62" s="48"/>
      <c r="J62" s="48"/>
      <c r="K62" s="48"/>
      <c r="L62" s="68"/>
      <c r="M62" s="48"/>
      <c r="N62" s="48"/>
      <c r="O62" s="48"/>
      <c r="P62" s="48"/>
      <c r="Q62" s="48"/>
      <c r="R62" s="48"/>
      <c r="S62" s="7"/>
    </row>
    <row r="63" spans="2:19" x14ac:dyDescent="0.25">
      <c r="B63" s="5"/>
      <c r="C63" s="22"/>
      <c r="D63" s="22"/>
      <c r="E63" s="22"/>
      <c r="F63" s="22"/>
      <c r="G63" s="22"/>
      <c r="I63" s="48"/>
      <c r="J63" s="48"/>
      <c r="K63" s="48"/>
      <c r="L63" s="48"/>
      <c r="M63" s="48"/>
      <c r="N63" s="53"/>
      <c r="O63" s="53"/>
      <c r="P63" s="48"/>
      <c r="Q63" s="48"/>
      <c r="R63" s="48"/>
      <c r="S63" s="7"/>
    </row>
    <row r="64" spans="2:19" x14ac:dyDescent="0.25">
      <c r="B64" s="5"/>
      <c r="C64" s="22"/>
      <c r="D64" s="22"/>
      <c r="E64" s="22"/>
      <c r="F64" s="22"/>
      <c r="G64" s="22"/>
      <c r="S64" s="7"/>
    </row>
    <row r="65" spans="2:19" x14ac:dyDescent="0.25">
      <c r="B65" s="5"/>
      <c r="C65" s="22"/>
      <c r="D65" s="22"/>
      <c r="E65" s="22"/>
      <c r="F65" s="22"/>
      <c r="G65" s="22"/>
      <c r="S65" s="7"/>
    </row>
    <row r="66" spans="2:19" x14ac:dyDescent="0.25">
      <c r="B66" s="8"/>
      <c r="C66" s="44"/>
      <c r="D66" s="44"/>
      <c r="E66" s="44"/>
      <c r="F66" s="45"/>
      <c r="G66" s="45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0"/>
    </row>
    <row r="67" spans="2:19" x14ac:dyDescent="0.25">
      <c r="C67" s="40"/>
      <c r="D67" s="40"/>
      <c r="E67" s="40"/>
      <c r="F67" s="41"/>
      <c r="G67" s="41"/>
    </row>
    <row r="68" spans="2:19" x14ac:dyDescent="0.25">
      <c r="C68" s="22"/>
      <c r="D68" s="22"/>
      <c r="E68" s="22"/>
      <c r="F68" s="42"/>
      <c r="G68" s="42"/>
    </row>
    <row r="70" spans="2:19" x14ac:dyDescent="0.25">
      <c r="C70" s="46"/>
      <c r="D70" s="46"/>
      <c r="E70" s="46"/>
      <c r="F70" s="46"/>
      <c r="G70" s="46"/>
      <c r="H70" s="46"/>
    </row>
    <row r="71" spans="2:19" x14ac:dyDescent="0.25">
      <c r="C71" s="46"/>
      <c r="D71" s="46"/>
      <c r="E71" s="46"/>
      <c r="F71" s="46"/>
      <c r="G71" s="46"/>
      <c r="H71" s="46"/>
    </row>
    <row r="72" spans="2:19" x14ac:dyDescent="0.25">
      <c r="C72" s="46"/>
      <c r="D72" s="46"/>
      <c r="E72" s="46"/>
      <c r="F72" s="46"/>
      <c r="G72" s="47"/>
      <c r="H72" s="47"/>
    </row>
    <row r="73" spans="2:19" x14ac:dyDescent="0.25">
      <c r="C73" s="46"/>
      <c r="D73" s="46"/>
      <c r="E73" s="46"/>
      <c r="F73" s="46"/>
      <c r="G73" s="47"/>
      <c r="H73" s="47"/>
    </row>
    <row r="74" spans="2:19" x14ac:dyDescent="0.25">
      <c r="C74" s="46"/>
      <c r="D74" s="46"/>
      <c r="E74" s="46"/>
      <c r="F74" s="46"/>
      <c r="G74" s="47"/>
      <c r="H74" s="47"/>
    </row>
    <row r="75" spans="2:19" x14ac:dyDescent="0.25">
      <c r="C75" s="46"/>
      <c r="D75" s="46"/>
      <c r="E75" s="46"/>
      <c r="F75" s="46"/>
      <c r="G75" s="47"/>
      <c r="H75" s="47"/>
    </row>
    <row r="76" spans="2:19" x14ac:dyDescent="0.25">
      <c r="C76" s="46"/>
      <c r="D76" s="46"/>
      <c r="E76" s="46"/>
      <c r="F76" s="46"/>
      <c r="G76" s="46"/>
      <c r="H76" s="46"/>
    </row>
    <row r="77" spans="2:19" x14ac:dyDescent="0.25">
      <c r="C77" s="46"/>
      <c r="D77" s="46"/>
      <c r="E77" s="46"/>
      <c r="F77" s="46"/>
      <c r="G77" s="46"/>
      <c r="H77" s="46"/>
    </row>
    <row r="78" spans="2:19" x14ac:dyDescent="0.25">
      <c r="C78" s="46"/>
      <c r="D78" s="46"/>
      <c r="E78" s="46"/>
      <c r="F78" s="46"/>
      <c r="G78" s="46"/>
      <c r="H78" s="46"/>
    </row>
    <row r="79" spans="2:19" x14ac:dyDescent="0.25">
      <c r="C79" s="46"/>
      <c r="D79" s="46"/>
      <c r="E79" s="46"/>
      <c r="F79" s="46"/>
      <c r="G79" s="47"/>
      <c r="H79" s="47"/>
    </row>
    <row r="80" spans="2:19" x14ac:dyDescent="0.25">
      <c r="C80" s="46"/>
      <c r="D80" s="46"/>
      <c r="E80" s="46"/>
      <c r="F80" s="46"/>
      <c r="G80" s="47"/>
      <c r="H80" s="47"/>
    </row>
    <row r="81" spans="3:8" x14ac:dyDescent="0.25">
      <c r="C81" s="46"/>
      <c r="D81" s="46"/>
      <c r="E81" s="46"/>
      <c r="F81" s="46"/>
      <c r="G81" s="47"/>
      <c r="H81" s="47"/>
    </row>
    <row r="82" spans="3:8" x14ac:dyDescent="0.25">
      <c r="C82" s="46"/>
      <c r="D82" s="46"/>
      <c r="E82" s="46"/>
      <c r="F82" s="46"/>
      <c r="G82" s="46"/>
      <c r="H82" s="46"/>
    </row>
    <row r="83" spans="3:8" x14ac:dyDescent="0.25">
      <c r="C83" s="46"/>
      <c r="D83" s="46"/>
      <c r="E83" s="46"/>
      <c r="F83" s="46"/>
      <c r="G83" s="46"/>
      <c r="H83" s="46"/>
    </row>
    <row r="84" spans="3:8" x14ac:dyDescent="0.25">
      <c r="C84" s="46"/>
      <c r="D84" s="46"/>
      <c r="E84" s="46"/>
      <c r="F84" s="46"/>
      <c r="G84" s="46"/>
      <c r="H84" s="46"/>
    </row>
    <row r="85" spans="3:8" x14ac:dyDescent="0.25">
      <c r="C85" s="46"/>
      <c r="D85" s="46"/>
      <c r="E85" s="46"/>
      <c r="F85" s="46"/>
      <c r="G85" s="46"/>
      <c r="H85" s="46"/>
    </row>
    <row r="86" spans="3:8" x14ac:dyDescent="0.25">
      <c r="C86" s="46"/>
      <c r="D86" s="46"/>
      <c r="E86" s="46"/>
      <c r="F86" s="46"/>
      <c r="G86" s="47"/>
      <c r="H86" s="47"/>
    </row>
    <row r="87" spans="3:8" x14ac:dyDescent="0.25">
      <c r="C87" s="46"/>
      <c r="D87" s="46"/>
      <c r="E87" s="46"/>
      <c r="F87" s="46"/>
      <c r="G87" s="46"/>
      <c r="H87" s="46"/>
    </row>
    <row r="88" spans="3:8" x14ac:dyDescent="0.25">
      <c r="C88" s="46"/>
      <c r="D88" s="46"/>
      <c r="E88" s="46"/>
      <c r="F88" s="46"/>
      <c r="G88" s="46"/>
      <c r="H88" s="46"/>
    </row>
    <row r="89" spans="3:8" x14ac:dyDescent="0.25">
      <c r="C89" s="46"/>
      <c r="D89" s="46"/>
      <c r="E89" s="46"/>
      <c r="F89" s="46"/>
      <c r="G89" s="46"/>
      <c r="H89" s="46"/>
    </row>
    <row r="90" spans="3:8" x14ac:dyDescent="0.25">
      <c r="C90" s="46"/>
      <c r="D90" s="46"/>
      <c r="E90" s="46"/>
      <c r="F90" s="46"/>
      <c r="G90" s="47"/>
      <c r="H90" s="47"/>
    </row>
    <row r="91" spans="3:8" x14ac:dyDescent="0.25">
      <c r="C91" s="46"/>
      <c r="D91" s="46"/>
      <c r="E91" s="46"/>
      <c r="F91" s="46"/>
      <c r="G91" s="47"/>
      <c r="H91" s="47"/>
    </row>
    <row r="92" spans="3:8" x14ac:dyDescent="0.25">
      <c r="C92" s="46"/>
      <c r="D92" s="46"/>
      <c r="E92" s="46"/>
      <c r="F92" s="46"/>
      <c r="G92" s="46"/>
      <c r="H92" s="46"/>
    </row>
    <row r="93" spans="3:8" x14ac:dyDescent="0.25">
      <c r="C93" s="46"/>
      <c r="D93" s="46"/>
      <c r="E93" s="46"/>
      <c r="F93" s="46"/>
      <c r="G93" s="46"/>
      <c r="H93" s="46"/>
    </row>
    <row r="94" spans="3:8" x14ac:dyDescent="0.25">
      <c r="C94" s="46"/>
      <c r="D94" s="46"/>
      <c r="E94" s="46"/>
      <c r="F94" s="46"/>
      <c r="G94" s="46"/>
      <c r="H94" s="46"/>
    </row>
    <row r="95" spans="3:8" x14ac:dyDescent="0.25">
      <c r="C95" s="46"/>
      <c r="D95" s="46"/>
      <c r="E95" s="46"/>
      <c r="F95" s="46"/>
      <c r="G95" s="46"/>
      <c r="H95" s="46"/>
    </row>
    <row r="96" spans="3:8" x14ac:dyDescent="0.25">
      <c r="C96" s="46"/>
      <c r="D96" s="46"/>
      <c r="E96" s="46"/>
      <c r="F96" s="46"/>
      <c r="G96" s="46"/>
      <c r="H96" s="46"/>
    </row>
    <row r="97" spans="3:8" x14ac:dyDescent="0.25">
      <c r="C97" s="46"/>
      <c r="D97" s="46"/>
      <c r="E97" s="46"/>
      <c r="F97" s="46"/>
      <c r="G97" s="47"/>
      <c r="H97" s="47"/>
    </row>
    <row r="98" spans="3:8" x14ac:dyDescent="0.25">
      <c r="C98" s="46"/>
      <c r="D98" s="46"/>
      <c r="E98" s="46"/>
      <c r="F98" s="46"/>
      <c r="G98" s="47"/>
      <c r="H98" s="47"/>
    </row>
    <row r="99" spans="3:8" x14ac:dyDescent="0.25">
      <c r="C99" s="46"/>
      <c r="D99" s="46"/>
      <c r="E99" s="46"/>
      <c r="F99" s="46"/>
      <c r="G99" s="46"/>
      <c r="H99" s="46"/>
    </row>
    <row r="100" spans="3:8" x14ac:dyDescent="0.25">
      <c r="C100" s="46"/>
      <c r="D100" s="46"/>
      <c r="E100" s="46"/>
      <c r="F100" s="46"/>
      <c r="G100" s="47"/>
      <c r="H100" s="47"/>
    </row>
    <row r="101" spans="3:8" x14ac:dyDescent="0.25">
      <c r="C101" s="46"/>
      <c r="D101" s="46"/>
      <c r="E101" s="46"/>
      <c r="F101" s="46"/>
      <c r="G101" s="47"/>
      <c r="H101" s="47"/>
    </row>
    <row r="102" spans="3:8" x14ac:dyDescent="0.25">
      <c r="C102" s="46"/>
      <c r="D102" s="46"/>
      <c r="E102" s="46"/>
      <c r="F102" s="46"/>
      <c r="G102" s="46"/>
      <c r="H102" s="46"/>
    </row>
    <row r="103" spans="3:8" x14ac:dyDescent="0.25">
      <c r="C103" s="46"/>
      <c r="D103" s="46"/>
      <c r="E103" s="46"/>
      <c r="F103" s="46"/>
      <c r="G103" s="46"/>
      <c r="H103" s="46"/>
    </row>
    <row r="104" spans="3:8" x14ac:dyDescent="0.25">
      <c r="C104" s="46"/>
      <c r="D104" s="46"/>
      <c r="E104" s="46"/>
      <c r="F104" s="46"/>
      <c r="G104" s="46"/>
      <c r="H104" s="46"/>
    </row>
    <row r="105" spans="3:8" x14ac:dyDescent="0.25">
      <c r="C105" s="46"/>
      <c r="D105" s="46"/>
      <c r="E105" s="46"/>
      <c r="F105" s="46"/>
      <c r="G105" s="46"/>
      <c r="H105" s="46"/>
    </row>
    <row r="106" spans="3:8" x14ac:dyDescent="0.25">
      <c r="C106" s="46"/>
      <c r="D106" s="46"/>
      <c r="E106" s="46"/>
      <c r="F106" s="46"/>
      <c r="G106" s="46"/>
      <c r="H106" s="46"/>
    </row>
    <row r="107" spans="3:8" x14ac:dyDescent="0.25">
      <c r="C107" s="46"/>
      <c r="D107" s="46"/>
      <c r="E107" s="46"/>
      <c r="F107" s="46"/>
      <c r="G107" s="46"/>
      <c r="H107" s="46"/>
    </row>
    <row r="108" spans="3:8" x14ac:dyDescent="0.25">
      <c r="C108" s="46"/>
      <c r="D108" s="46"/>
      <c r="E108" s="46"/>
      <c r="F108" s="46"/>
      <c r="G108" s="46"/>
      <c r="H108" s="46"/>
    </row>
    <row r="109" spans="3:8" x14ac:dyDescent="0.25">
      <c r="C109" s="46"/>
      <c r="D109" s="46"/>
      <c r="E109" s="46"/>
      <c r="F109" s="46"/>
      <c r="G109" s="47"/>
      <c r="H109" s="47"/>
    </row>
    <row r="110" spans="3:8" x14ac:dyDescent="0.25">
      <c r="C110" s="46"/>
      <c r="D110" s="46"/>
      <c r="E110" s="46"/>
      <c r="F110" s="46"/>
      <c r="G110" s="47"/>
      <c r="H110" s="47"/>
    </row>
    <row r="111" spans="3:8" x14ac:dyDescent="0.25">
      <c r="C111" s="46"/>
      <c r="D111" s="46"/>
      <c r="E111" s="46"/>
      <c r="F111" s="46"/>
      <c r="G111" s="47"/>
      <c r="H111" s="47"/>
    </row>
  </sheetData>
  <phoneticPr fontId="4" type="noConversion"/>
  <conditionalFormatting sqref="F29:F30 F48">
    <cfRule type="duplicateValues" dxfId="12" priority="16"/>
  </conditionalFormatting>
  <conditionalFormatting sqref="F51:F54">
    <cfRule type="duplicateValues" dxfId="11" priority="15"/>
  </conditionalFormatting>
  <conditionalFormatting sqref="F57:F59">
    <cfRule type="duplicateValues" dxfId="10" priority="14"/>
  </conditionalFormatting>
  <conditionalFormatting sqref="F62:F66">
    <cfRule type="duplicateValues" dxfId="9" priority="13"/>
  </conditionalFormatting>
  <conditionalFormatting sqref="F49:F50">
    <cfRule type="duplicateValues" dxfId="8" priority="12"/>
  </conditionalFormatting>
  <conditionalFormatting sqref="F55:F56">
    <cfRule type="duplicateValues" dxfId="7" priority="11"/>
  </conditionalFormatting>
  <conditionalFormatting sqref="F60:F61">
    <cfRule type="duplicateValues" dxfId="6" priority="10"/>
  </conditionalFormatting>
  <conditionalFormatting sqref="F67:F68">
    <cfRule type="duplicateValues" dxfId="5" priority="9"/>
  </conditionalFormatting>
  <conditionalFormatting sqref="F31:F32 F34:F45">
    <cfRule type="duplicateValues" dxfId="4" priority="8"/>
  </conditionalFormatting>
  <conditionalFormatting sqref="F46">
    <cfRule type="duplicateValues" dxfId="3" priority="4"/>
  </conditionalFormatting>
  <conditionalFormatting sqref="F46">
    <cfRule type="duplicateValues" dxfId="2" priority="3"/>
  </conditionalFormatting>
  <conditionalFormatting sqref="F46">
    <cfRule type="duplicateValues" dxfId="1" priority="2"/>
  </conditionalFormatting>
  <conditionalFormatting sqref="F46">
    <cfRule type="duplicateValues" dxfId="0" priority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Jody Suseno</dc:creator>
  <cp:lastModifiedBy>Jody Suseno</cp:lastModifiedBy>
  <dcterms:created xsi:type="dcterms:W3CDTF">2015-06-05T18:17:20Z</dcterms:created>
  <dcterms:modified xsi:type="dcterms:W3CDTF">2023-07-22T09:42:00Z</dcterms:modified>
</cp:coreProperties>
</file>